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MONTOY\Desktop\Proyectos_IDIC\Dashboard_Actividades\"/>
    </mc:Choice>
  </mc:AlternateContent>
  <xr:revisionPtr revIDLastSave="0" documentId="13_ncr:1_{86BA1ADD-A047-4500-B74F-FEE95C91E868}" xr6:coauthVersionLast="47" xr6:coauthVersionMax="47" xr10:uidLastSave="{00000000-0000-0000-0000-000000000000}"/>
  <bookViews>
    <workbookView xWindow="28680" yWindow="-120" windowWidth="19440" windowHeight="14880" firstSheet="1" activeTab="2" xr2:uid="{00000000-000D-0000-FFFF-FFFF00000000}"/>
  </bookViews>
  <sheets>
    <sheet name="Resumen" sheetId="1" r:id="rId1"/>
    <sheet name="Integrantes" sheetId="2" r:id="rId2"/>
    <sheet name="Actividades" sheetId="3" r:id="rId3"/>
    <sheet name="Ejecuciones" sheetId="4" r:id="rId4"/>
    <sheet name="Pasos" sheetId="5" r:id="rId5"/>
    <sheet name="Seguimiento_Pasos" sheetId="6" r:id="rId6"/>
    <sheet name="Participantes" sheetId="7" r:id="rId7"/>
    <sheet name="Catalogos" sheetId="8" r:id="rId8"/>
    <sheet name="Guia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E21" i="6"/>
  <c r="F21" i="6" s="1"/>
  <c r="E20" i="6"/>
  <c r="F20" i="6" s="1"/>
  <c r="E19" i="6"/>
  <c r="F19" i="6" s="1"/>
  <c r="E18" i="6"/>
  <c r="F18" i="6" s="1"/>
  <c r="H4" i="4" s="1"/>
  <c r="E17" i="6"/>
  <c r="F17" i="6" s="1"/>
  <c r="E16" i="6"/>
  <c r="F16" i="6" s="1"/>
  <c r="E15" i="6"/>
  <c r="F15" i="6" s="1"/>
  <c r="E14" i="6"/>
  <c r="F14" i="6" s="1"/>
  <c r="H3" i="4" s="1"/>
  <c r="F9" i="1" s="1"/>
  <c r="E13" i="6"/>
  <c r="F13" i="6" s="1"/>
  <c r="E12" i="6"/>
  <c r="F12" i="6" s="1"/>
  <c r="E11" i="6"/>
  <c r="F11" i="6" s="1"/>
  <c r="E10" i="6"/>
  <c r="F10" i="6" s="1"/>
  <c r="E9" i="6"/>
  <c r="F9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E2" i="6"/>
  <c r="F2" i="6" s="1"/>
  <c r="H2" i="4" s="1"/>
  <c r="E10" i="1"/>
  <c r="D10" i="1"/>
  <c r="C10" i="1"/>
  <c r="B10" i="1"/>
  <c r="A10" i="1"/>
  <c r="E9" i="1"/>
  <c r="D9" i="1"/>
  <c r="C9" i="1"/>
  <c r="B9" i="1"/>
  <c r="A9" i="1"/>
  <c r="E8" i="1"/>
  <c r="D8" i="1"/>
  <c r="C8" i="1"/>
  <c r="B8" i="1"/>
  <c r="A8" i="1"/>
  <c r="E4" i="1"/>
  <c r="C4" i="1"/>
  <c r="A4" i="1"/>
  <c r="G4" i="1" l="1"/>
  <c r="F8" i="1"/>
</calcChain>
</file>

<file path=xl/sharedStrings.xml><?xml version="1.0" encoding="utf-8"?>
<sst xmlns="http://schemas.openxmlformats.org/spreadsheetml/2006/main" count="328" uniqueCount="173">
  <si>
    <t>Registro y seguimiento de actividades</t>
  </si>
  <si>
    <t>Actividades</t>
  </si>
  <si>
    <t>Ejecuciones</t>
  </si>
  <si>
    <t>Culminadas</t>
  </si>
  <si>
    <t>Avance promedio</t>
  </si>
  <si>
    <t>ejecucion_id</t>
  </si>
  <si>
    <t>actividad</t>
  </si>
  <si>
    <t>responsable</t>
  </si>
  <si>
    <t>estado</t>
  </si>
  <si>
    <t>fecha_prevista</t>
  </si>
  <si>
    <t>avance</t>
  </si>
  <si>
    <t>integrante_id</t>
  </si>
  <si>
    <t>nombre</t>
  </si>
  <si>
    <t>cargo</t>
  </si>
  <si>
    <t>activo</t>
  </si>
  <si>
    <t>INT-001</t>
  </si>
  <si>
    <t>Joselyn Lopez Ramirez</t>
  </si>
  <si>
    <t>Sí</t>
  </si>
  <si>
    <t>INT-002</t>
  </si>
  <si>
    <t>César Montoya</t>
  </si>
  <si>
    <t>actividad_id</t>
  </si>
  <si>
    <t>descripcion</t>
  </si>
  <si>
    <t>categoria</t>
  </si>
  <si>
    <t>periodicidad</t>
  </si>
  <si>
    <t>responsable_id</t>
  </si>
  <si>
    <t>prioridad</t>
  </si>
  <si>
    <t>ACT-001</t>
  </si>
  <si>
    <t>Actualización mensual de publicaciones científicas</t>
  </si>
  <si>
    <t>Identificación, extracción y consolidación de publicaciones científicas con afiliación a la Universidad de Lima en Scopus, Web of Science y SciELO.</t>
  </si>
  <si>
    <t>Gestión de publicaciones científicas</t>
  </si>
  <si>
    <t>Mensual</t>
  </si>
  <si>
    <t>Alta</t>
  </si>
  <si>
    <t>ACT-002</t>
  </si>
  <si>
    <t>Actualización del Dashboard de revistas</t>
  </si>
  <si>
    <t>Agregar y/o retirar registros de revistas.</t>
  </si>
  <si>
    <t>Gestión de información</t>
  </si>
  <si>
    <t>Semanal</t>
  </si>
  <si>
    <t>ACT-003</t>
  </si>
  <si>
    <t>Actualización del Dashboard de congresos</t>
  </si>
  <si>
    <t>Agregar nuevos registros de congresos.</t>
  </si>
  <si>
    <t>periodo</t>
  </si>
  <si>
    <t>fecha_asignacion</t>
  </si>
  <si>
    <t>fecha_culminacion</t>
  </si>
  <si>
    <t>avance_calculado</t>
  </si>
  <si>
    <t>resultado</t>
  </si>
  <si>
    <t>proxima_accion</t>
  </si>
  <si>
    <t>bloqueos</t>
  </si>
  <si>
    <t>evidencia</t>
  </si>
  <si>
    <t>EJE-2026-0901-001</t>
  </si>
  <si>
    <t>2026-09</t>
  </si>
  <si>
    <t>Culminada</t>
  </si>
  <si>
    <t>Identificación y validación de los autores con afiliación Ulima en las publicaciones recopiladas.</t>
  </si>
  <si>
    <t>Revisar el historial de publicaciones de los autores para complementar y validar su identificación.</t>
  </si>
  <si>
    <t>Solicitar información a las unidades correspondientes para completar datos no identificados.</t>
  </si>
  <si>
    <t>Reporte por correo de publicaciones nuevas y autores Ulima identificados en agosto.</t>
  </si>
  <si>
    <t>EJE-2026-0911-002</t>
  </si>
  <si>
    <t>2026-S37</t>
  </si>
  <si>
    <t>Verificación de la visualización de nuevas revistas en el dashboard.</t>
  </si>
  <si>
    <t>Excel de registro de revistas evaluadas con datos actualizados.</t>
  </si>
  <si>
    <t>EJE-2026-0911-003</t>
  </si>
  <si>
    <t>Verificación de la visualización de nuevos congresos en el dashboard.</t>
  </si>
  <si>
    <t>Excel de lista de congresos evaluados con datos actualizados.</t>
  </si>
  <si>
    <t>paso_id</t>
  </si>
  <si>
    <t>orden</t>
  </si>
  <si>
    <t>nombre_paso</t>
  </si>
  <si>
    <t>peso</t>
  </si>
  <si>
    <t>PAS-001</t>
  </si>
  <si>
    <t>Búsqueda de publicaciones con afiliación Universidad de Lima en Scopus, Web of Science y SciELO</t>
  </si>
  <si>
    <t>PAS-002</t>
  </si>
  <si>
    <t>Selección de metadatos a exportar por base de datos</t>
  </si>
  <si>
    <t>PAS-003</t>
  </si>
  <si>
    <t>Exportación de metadatos en archivo CSV</t>
  </si>
  <si>
    <t>PAS-004</t>
  </si>
  <si>
    <t>Importación de metadatos al dataset de publicaciones Ulima</t>
  </si>
  <si>
    <t>PAS-005</t>
  </si>
  <si>
    <t>Revisión manual de publicaciones no repetidas</t>
  </si>
  <si>
    <t>PAS-006</t>
  </si>
  <si>
    <t>Identificación de duplicados no detectados por diferencias de caracteres</t>
  </si>
  <si>
    <t>PAS-007</t>
  </si>
  <si>
    <t>Consolidación y asignación de IDs según la base de indexación</t>
  </si>
  <si>
    <t>PAS-008</t>
  </si>
  <si>
    <t>Integración de metadatos variables de Scopus</t>
  </si>
  <si>
    <t>PAS-009</t>
  </si>
  <si>
    <t>Integración de metadatos variables de Web of Science</t>
  </si>
  <si>
    <t>PAS-010</t>
  </si>
  <si>
    <t>Integración de metadatos variables de SciELO</t>
  </si>
  <si>
    <t>PAS-011</t>
  </si>
  <si>
    <t>Seguimiento de publicaciones AIP (Article in press)</t>
  </si>
  <si>
    <t>PAS-012</t>
  </si>
  <si>
    <t>Registro de datos del autor Ulima y asignación a la dependencia correspondiente</t>
  </si>
  <si>
    <t>PAS-013</t>
  </si>
  <si>
    <t>Revisar los registros de revistas por agregar o retirar</t>
  </si>
  <si>
    <t>PAS-014</t>
  </si>
  <si>
    <t>Validar la información de cada revista</t>
  </si>
  <si>
    <t>PAS-015</t>
  </si>
  <si>
    <t>Actualizar el registro maestro de revistas</t>
  </si>
  <si>
    <t>PAS-016</t>
  </si>
  <si>
    <t>Verificar la visualización en el dashboard</t>
  </si>
  <si>
    <t>PAS-017</t>
  </si>
  <si>
    <t>Revisar los nuevos registros de congresos</t>
  </si>
  <si>
    <t>PAS-018</t>
  </si>
  <si>
    <t>Validar la información de cada congreso</t>
  </si>
  <si>
    <t>PAS-019</t>
  </si>
  <si>
    <t>Actualizar el registro maestro de congresos</t>
  </si>
  <si>
    <t>PAS-020</t>
  </si>
  <si>
    <t>estado_paso</t>
  </si>
  <si>
    <t>porcentaje_paso</t>
  </si>
  <si>
    <t>peso_paso</t>
  </si>
  <si>
    <t>avance_ponderado</t>
  </si>
  <si>
    <t>fecha_inicio</t>
  </si>
  <si>
    <t>fecha_fin</t>
  </si>
  <si>
    <t>observacion</t>
  </si>
  <si>
    <t>Completado</t>
  </si>
  <si>
    <t>rol</t>
  </si>
  <si>
    <t>Responsable</t>
  </si>
  <si>
    <t>Participante</t>
  </si>
  <si>
    <t>estado_ejecucion</t>
  </si>
  <si>
    <t>Pendiente</t>
  </si>
  <si>
    <t>Baja</t>
  </si>
  <si>
    <t>Diaria</t>
  </si>
  <si>
    <t>En progreso</t>
  </si>
  <si>
    <t>Media</t>
  </si>
  <si>
    <t>Bloqueada</t>
  </si>
  <si>
    <t>Bloqueado</t>
  </si>
  <si>
    <t>Trimestral</t>
  </si>
  <si>
    <t>Cómo usar el modelo</t>
  </si>
  <si>
    <t>Orden</t>
  </si>
  <si>
    <t>Registro recomendado</t>
  </si>
  <si>
    <t>Crear o actualizar al integrante en Integrantes.</t>
  </si>
  <si>
    <t>Definir la actividad una sola vez en Actividades.</t>
  </si>
  <si>
    <t>Registrar los pasos variables de la actividad en Pasos. La suma de pesos debe ser 100%.</t>
  </si>
  <si>
    <t>Crear una fila en Ejecuciones cada vez que la actividad se realice.</t>
  </si>
  <si>
    <t>Crear una fila por paso en Seguimiento_Pasos y actualizar porcentaje_paso. El avance global se calcula automáticamente.</t>
  </si>
  <si>
    <t>Tabla</t>
  </si>
  <si>
    <t>Clave principal</t>
  </si>
  <si>
    <t>Se relaciona con</t>
  </si>
  <si>
    <t>Uso en la API / React</t>
  </si>
  <si>
    <t>Integrantes</t>
  </si>
  <si>
    <t>Actividades y Participantes</t>
  </si>
  <si>
    <t>Catálogo de personas</t>
  </si>
  <si>
    <t>Ejecuciones, Pasos y Participantes</t>
  </si>
  <si>
    <t>Definición reusable de cada actividad</t>
  </si>
  <si>
    <t>Seguimiento_Pasos</t>
  </si>
  <si>
    <t>Instancia temporal e histórico</t>
  </si>
  <si>
    <t>Pasos</t>
  </si>
  <si>
    <t>Flujo configurable por actividad</t>
  </si>
  <si>
    <t>ejecucion_id + paso_id</t>
  </si>
  <si>
    <t>Ejecuciones y Pasos</t>
  </si>
  <si>
    <t>Estado y porcentaje de cada paso</t>
  </si>
  <si>
    <t>Participantes</t>
  </si>
  <si>
    <t>actividad_id + integrante_id</t>
  </si>
  <si>
    <t>Actividades e Integrantes</t>
  </si>
  <si>
    <t>Relación de muchos a muchos</t>
  </si>
  <si>
    <t>Catalogos</t>
  </si>
  <si>
    <t>valor</t>
  </si>
  <si>
    <t>Campos categóricos</t>
  </si>
  <si>
    <t>Valores permitidos para validación</t>
  </si>
  <si>
    <t>Regla</t>
  </si>
  <si>
    <t>Definición</t>
  </si>
  <si>
    <t>Avance de paso</t>
  </si>
  <si>
    <t>Valor editable entre 0% y 100%.</t>
  </si>
  <si>
    <t>Avance ponderado</t>
  </si>
  <si>
    <t>porcentaje_paso × peso_paso</t>
  </si>
  <si>
    <t>Avance de ejecución</t>
  </si>
  <si>
    <t>suma de avances ponderados ÷ suma de pesos de los pasos de la ejecución</t>
  </si>
  <si>
    <t>Nota para integración: consumir las tablas por sus IDs estables. Los nombres son atributos editables y no deben usarse como llaves. Las actividades periódicas generan nuevas ejecuciones sin duplicar su definición ni sus pasos.</t>
  </si>
  <si>
    <t>Los cuatro pasos de ACT-002 y ACT-003 son una propuesta basada en las descripciones del archivo original. El equipo debe confirmar sus nombres y pesos antes de usarlos como flujo oficial.</t>
  </si>
  <si>
    <t>No iniciada</t>
  </si>
  <si>
    <t>En curso</t>
  </si>
  <si>
    <t>Bimensual</t>
  </si>
  <si>
    <t>Semestral</t>
  </si>
  <si>
    <t>Annual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</si>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</sst>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9">
    <font>
      <sz val="11"/>
      <name val="Carlito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b/>
      <sz val="16"/>
      <color rgb="FF1F4E78"/>
      <name val="Arial"/>
      <family val="2"/>
    </font>
    <font>
      <sz val="11"/>
      <color rgb="FF1F2937"/>
      <name val="Arial"/>
      <family val="2"/>
    </font>
    <font>
      <b/>
      <sz val="10"/>
      <color rgb="FF1F4E78"/>
      <name val="Arial"/>
      <family val="2"/>
    </font>
    <font>
      <b/>
      <sz val="15"/>
      <color rgb="FF1F4E78"/>
      <name val="Arial"/>
      <family val="2"/>
    </font>
    <font>
      <i/>
      <sz val="10"/>
      <color rgb="FF1F2937"/>
      <name val="Arial"/>
      <family val="2"/>
    </font>
    <font>
      <i/>
      <sz val="10"/>
      <color rgb="FF1F4E7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AF3F8"/>
      </patternFill>
    </fill>
  </fills>
  <borders count="19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/>
      <top/>
      <bottom style="medium">
        <color rgb="FF5B9BD5"/>
      </bottom>
      <diagonal/>
    </border>
    <border>
      <left style="thin">
        <color rgb="FF5B9BD5"/>
      </left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 style="thin">
        <color rgb="FF5B9BD5"/>
      </right>
      <top/>
      <bottom style="thin">
        <color rgb="FF5B9BD5"/>
      </bottom>
      <diagonal/>
    </border>
    <border>
      <left style="thin">
        <color rgb="FFD6B656"/>
      </left>
      <right/>
      <top style="thin">
        <color rgb="FFD6B656"/>
      </top>
      <bottom/>
      <diagonal/>
    </border>
    <border>
      <left/>
      <right/>
      <top style="thin">
        <color rgb="FFD6B656"/>
      </top>
      <bottom/>
      <diagonal/>
    </border>
    <border>
      <left/>
      <right style="thin">
        <color rgb="FFD6B656"/>
      </right>
      <top style="thin">
        <color rgb="FFD6B656"/>
      </top>
      <bottom/>
      <diagonal/>
    </border>
    <border>
      <left style="thin">
        <color rgb="FFD6B656"/>
      </left>
      <right/>
      <top/>
      <bottom style="thin">
        <color rgb="FFD6B656"/>
      </bottom>
      <diagonal/>
    </border>
    <border>
      <left/>
      <right/>
      <top/>
      <bottom style="thin">
        <color rgb="FFD6B656"/>
      </bottom>
      <diagonal/>
    </border>
    <border>
      <left/>
      <right style="thin">
        <color rgb="FFD6B656"/>
      </right>
      <top/>
      <bottom style="thin">
        <color rgb="FFD6B656"/>
      </bottom>
      <diagonal/>
    </border>
    <border>
      <left style="thin">
        <color rgb="FF5B9BD5"/>
      </left>
      <right/>
      <top style="thin">
        <color rgb="FF5B9BD5"/>
      </top>
      <bottom/>
      <diagonal/>
    </border>
    <border>
      <left/>
      <right/>
      <top style="thin">
        <color rgb="FF5B9BD5"/>
      </top>
      <bottom/>
      <diagonal/>
    </border>
    <border>
      <left/>
      <right style="thin">
        <color rgb="FF5B9BD5"/>
      </right>
      <top style="thin">
        <color rgb="FF5B9BD5"/>
      </top>
      <bottom/>
      <diagonal/>
    </border>
    <border>
      <left style="thin">
        <color rgb="FF5B9BD5"/>
      </left>
      <right/>
      <top/>
      <bottom style="thin">
        <color rgb="FF5B9BD5"/>
      </bottom>
      <diagonal/>
    </border>
    <border>
      <left/>
      <right/>
      <top/>
      <bottom style="thin">
        <color rgb="FF5B9BD5"/>
      </bottom>
      <diagonal/>
    </border>
    <border>
      <left/>
      <right style="thin">
        <color rgb="FF5B9BD5"/>
      </right>
      <top/>
      <bottom style="thin">
        <color rgb="FF5B9BD5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2" fillId="2" borderId="3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Border="1" applyAlignment="1">
      <alignment vertical="center" wrapText="1"/>
    </xf>
    <xf numFmtId="164" fontId="1" fillId="0" borderId="0" xfId="0" applyNumberFormat="1" applyFont="1" applyFill="1" applyBorder="1" applyAlignment="1">
      <alignment vertical="center"/>
    </xf>
    <xf numFmtId="9" fontId="1" fillId="0" borderId="0" xfId="0" applyNumberFormat="1" applyFont="1" applyFill="1" applyBorder="1" applyAlignment="1">
      <alignment vertical="center"/>
    </xf>
    <xf numFmtId="9" fontId="1" fillId="3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/>
    <xf numFmtId="0" fontId="5" fillId="4" borderId="5" xfId="0" applyNumberFormat="1" applyFont="1" applyFill="1" applyBorder="1" applyAlignment="1">
      <alignment horizontal="center" vertical="center"/>
    </xf>
    <xf numFmtId="0" fontId="6" fillId="4" borderId="6" xfId="0" applyNumberFormat="1" applyFont="1" applyFill="1" applyBorder="1" applyAlignment="1">
      <alignment horizontal="center" vertical="center"/>
    </xf>
    <xf numFmtId="9" fontId="6" fillId="4" borderId="6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 wrapText="1"/>
    </xf>
    <xf numFmtId="164" fontId="1" fillId="0" borderId="0" xfId="0" applyNumberFormat="1" applyFont="1" applyFill="1" applyBorder="1"/>
    <xf numFmtId="9" fontId="1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wrapText="1"/>
    </xf>
    <xf numFmtId="0" fontId="3" fillId="0" borderId="4" xfId="0" applyNumberFormat="1" applyFont="1" applyFill="1" applyBorder="1" applyAlignment="1">
      <alignment vertical="center"/>
    </xf>
    <xf numFmtId="0" fontId="3" fillId="0" borderId="4" xfId="0" applyNumberFormat="1" applyFont="1" applyFill="1" applyBorder="1"/>
    <xf numFmtId="0" fontId="7" fillId="3" borderId="7" xfId="0" applyNumberFormat="1" applyFont="1" applyFill="1" applyBorder="1" applyAlignment="1">
      <alignment vertical="center" wrapText="1"/>
    </xf>
    <xf numFmtId="0" fontId="7" fillId="3" borderId="8" xfId="0" applyNumberFormat="1" applyFont="1" applyFill="1" applyBorder="1" applyAlignment="1">
      <alignment vertical="center" wrapText="1"/>
    </xf>
    <xf numFmtId="0" fontId="7" fillId="3" borderId="9" xfId="0" applyNumberFormat="1" applyFont="1" applyFill="1" applyBorder="1" applyAlignment="1">
      <alignment vertical="center" wrapText="1"/>
    </xf>
    <xf numFmtId="0" fontId="7" fillId="3" borderId="10" xfId="0" applyNumberFormat="1" applyFont="1" applyFill="1" applyBorder="1" applyAlignment="1">
      <alignment vertical="center" wrapText="1"/>
    </xf>
    <xf numFmtId="0" fontId="7" fillId="3" borderId="11" xfId="0" applyNumberFormat="1" applyFont="1" applyFill="1" applyBorder="1" applyAlignment="1">
      <alignment vertical="center" wrapText="1"/>
    </xf>
    <xf numFmtId="0" fontId="7" fillId="3" borderId="12" xfId="0" applyNumberFormat="1" applyFont="1" applyFill="1" applyBorder="1" applyAlignment="1">
      <alignment vertical="center" wrapText="1"/>
    </xf>
    <xf numFmtId="0" fontId="8" fillId="4" borderId="13" xfId="0" applyNumberFormat="1" applyFont="1" applyFill="1" applyBorder="1" applyAlignment="1">
      <alignment vertical="center" wrapText="1"/>
    </xf>
    <xf numFmtId="0" fontId="8" fillId="4" borderId="14" xfId="0" applyNumberFormat="1" applyFont="1" applyFill="1" applyBorder="1" applyAlignment="1">
      <alignment vertical="center" wrapText="1"/>
    </xf>
    <xf numFmtId="0" fontId="8" fillId="4" borderId="15" xfId="0" applyNumberFormat="1" applyFont="1" applyFill="1" applyBorder="1" applyAlignment="1">
      <alignment vertical="center" wrapText="1"/>
    </xf>
    <xf numFmtId="0" fontId="8" fillId="4" borderId="16" xfId="0" applyNumberFormat="1" applyFont="1" applyFill="1" applyBorder="1" applyAlignment="1">
      <alignment vertical="center" wrapText="1"/>
    </xf>
    <xf numFmtId="0" fontId="8" fillId="4" borderId="17" xfId="0" applyNumberFormat="1" applyFont="1" applyFill="1" applyBorder="1" applyAlignment="1">
      <alignment vertical="center" wrapText="1"/>
    </xf>
    <xf numFmtId="0" fontId="8" fillId="4" borderId="18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9C0006"/>
      </font>
      <fill>
        <patternFill patternType="solid">
          <bgColor rgb="FFFCE4D6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375623"/>
      </font>
      <fill>
        <patternFill patternType="solid"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n-US" sz="900">
                <a:latin typeface="Arial"/>
                <a:ea typeface="Arial"/>
                <a:cs typeface="Arial"/>
              </a:rPr>
              <a:t>Avance por ejecución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avance</c:v>
          </c:tx>
          <c:invertIfNegative val="1"/>
          <c:cat>
            <c:strRef>
              <c:f>Resumen!$B$8:$B$10</c:f>
              <c:strCache>
                <c:ptCount val="3"/>
                <c:pt idx="0">
                  <c:v>Actualización mensual de publicaciones científicas</c:v>
                </c:pt>
                <c:pt idx="1">
                  <c:v>Actualización del Dashboard de revistas</c:v>
                </c:pt>
                <c:pt idx="2">
                  <c:v>Actualización del Dashboard de congresos</c:v>
                </c:pt>
              </c:strCache>
            </c:strRef>
          </c:cat>
          <c:val>
            <c:numRef>
              <c:f>Resumen!$F$8:$F$10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DB-4E26-9D65-994C895610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anchorCtr="1"/>
          <a:lstStyle/>
          <a:p>
            <a:pPr>
              <a:defRPr sz="675">
                <a:latin typeface="Arial"/>
                <a:ea typeface="Arial"/>
                <a:cs typeface="Arial"/>
              </a:defRPr>
            </a:pPr>
            <a:endParaRPr lang="en-US"/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anchorCtr="1"/>
        <a:lstStyle/>
        <a:p>
          <a:pPr>
            <a:defRPr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6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0000000}" name="tblResumenEjecuciones" displayName="tblResumenEjecuciones" ref="A7:F10" totalsRowShown="0">
  <autoFilter ref="A7:F10" xr:uid="{00000000-0009-0000-0100-000008000000}"/>
  <tableColumns count="6">
    <tableColumn id="1" xr3:uid="{00000000-0010-0000-0000-000001000000}" name="ejecucion_id"/>
    <tableColumn id="2" xr3:uid="{00000000-0010-0000-0000-000002000000}" name="actividad"/>
    <tableColumn id="3" xr3:uid="{00000000-0010-0000-0000-000003000000}" name="responsable"/>
    <tableColumn id="4" xr3:uid="{00000000-0010-0000-0000-000004000000}" name="estado"/>
    <tableColumn id="5" xr3:uid="{00000000-0010-0000-0000-000005000000}" name="fecha_prevista"/>
    <tableColumn id="6" xr3:uid="{00000000-0010-0000-0000-000006000000}" name="a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blIntegrantes" displayName="tblIntegrantes" ref="A1:D3" totalsRowShown="0">
  <autoFilter ref="A1:D3" xr:uid="{00000000-0009-0000-0100-000001000000}"/>
  <tableColumns count="4">
    <tableColumn id="1" xr3:uid="{00000000-0010-0000-0100-000001000000}" name="integrante_id"/>
    <tableColumn id="2" xr3:uid="{00000000-0010-0000-0100-000002000000}" name="nombre"/>
    <tableColumn id="3" xr3:uid="{00000000-0010-0000-0100-000003000000}" name="cargo"/>
    <tableColumn id="4" xr3:uid="{00000000-0010-0000-0100-000004000000}" name="activ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2000000}" name="tblActividades" displayName="tblActividades" ref="A1:H4" totalsRowShown="0">
  <autoFilter ref="A1:H4" xr:uid="{00000000-0009-0000-0100-000002000000}"/>
  <tableColumns count="8">
    <tableColumn id="1" xr3:uid="{00000000-0010-0000-0200-000001000000}" name="actividad_id"/>
    <tableColumn id="2" xr3:uid="{00000000-0010-0000-0200-000002000000}" name="nombre"/>
    <tableColumn id="3" xr3:uid="{00000000-0010-0000-0200-000003000000}" name="descripcion"/>
    <tableColumn id="4" xr3:uid="{00000000-0010-0000-0200-000004000000}" name="categoria"/>
    <tableColumn id="5" xr3:uid="{00000000-0010-0000-0200-000005000000}" name="periodicidad"/>
    <tableColumn id="6" xr3:uid="{00000000-0010-0000-0200-000006000000}" name="responsable_id"/>
    <tableColumn id="7" xr3:uid="{00000000-0010-0000-0200-000007000000}" name="prioridad"/>
    <tableColumn id="8" xr3:uid="{00000000-0010-0000-0200-000008000000}" name="activ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3000000}" name="tblEjecuciones" displayName="tblEjecuciones" ref="A1:L4" totalsRowShown="0">
  <autoFilter ref="A1:L4" xr:uid="{00000000-0009-0000-0100-000003000000}"/>
  <tableColumns count="12">
    <tableColumn id="1" xr3:uid="{00000000-0010-0000-0300-000001000000}" name="ejecucion_id"/>
    <tableColumn id="2" xr3:uid="{00000000-0010-0000-0300-000002000000}" name="actividad_id"/>
    <tableColumn id="3" xr3:uid="{00000000-0010-0000-0300-000003000000}" name="periodo"/>
    <tableColumn id="4" xr3:uid="{00000000-0010-0000-0300-000004000000}" name="fecha_asignacion"/>
    <tableColumn id="5" xr3:uid="{00000000-0010-0000-0300-000005000000}" name="fecha_prevista"/>
    <tableColumn id="6" xr3:uid="{00000000-0010-0000-0300-000006000000}" name="estado"/>
    <tableColumn id="7" xr3:uid="{00000000-0010-0000-0300-000007000000}" name="fecha_culminacion"/>
    <tableColumn id="8" xr3:uid="{00000000-0010-0000-0300-000008000000}" name="avance_calculado"/>
    <tableColumn id="9" xr3:uid="{00000000-0010-0000-0300-000009000000}" name="resultado"/>
    <tableColumn id="10" xr3:uid="{00000000-0010-0000-0300-00000A000000}" name="proxima_accion"/>
    <tableColumn id="11" xr3:uid="{00000000-0010-0000-0300-00000B000000}" name="bloqueos"/>
    <tableColumn id="12" xr3:uid="{00000000-0010-0000-0300-00000C000000}" name="evidenci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blPasos" displayName="tblPasos" ref="A1:F21" totalsRowShown="0">
  <autoFilter ref="A1:F21" xr:uid="{00000000-0009-0000-0100-000004000000}"/>
  <tableColumns count="6">
    <tableColumn id="1" xr3:uid="{00000000-0010-0000-0400-000001000000}" name="paso_id"/>
    <tableColumn id="2" xr3:uid="{00000000-0010-0000-0400-000002000000}" name="actividad_id"/>
    <tableColumn id="3" xr3:uid="{00000000-0010-0000-0400-000003000000}" name="orden"/>
    <tableColumn id="4" xr3:uid="{00000000-0010-0000-0400-000004000000}" name="nombre_paso"/>
    <tableColumn id="5" xr3:uid="{00000000-0010-0000-0400-000005000000}" name="peso"/>
    <tableColumn id="6" xr3:uid="{00000000-0010-0000-0400-000006000000}" name="activ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5000000}" name="tblSeguimientoPasos" displayName="tblSeguimientoPasos" ref="A1:I21" totalsRowShown="0">
  <autoFilter ref="A1:I21" xr:uid="{00000000-0009-0000-0100-000005000000}"/>
  <tableColumns count="9">
    <tableColumn id="1" xr3:uid="{00000000-0010-0000-0500-000001000000}" name="ejecucion_id"/>
    <tableColumn id="2" xr3:uid="{00000000-0010-0000-0500-000002000000}" name="paso_id"/>
    <tableColumn id="3" xr3:uid="{00000000-0010-0000-0500-000003000000}" name="estado_paso"/>
    <tableColumn id="4" xr3:uid="{00000000-0010-0000-0500-000004000000}" name="porcentaje_paso"/>
    <tableColumn id="5" xr3:uid="{00000000-0010-0000-0500-000005000000}" name="peso_paso"/>
    <tableColumn id="6" xr3:uid="{00000000-0010-0000-0500-000006000000}" name="avance_ponderado"/>
    <tableColumn id="7" xr3:uid="{00000000-0010-0000-0500-000007000000}" name="fecha_inicio"/>
    <tableColumn id="8" xr3:uid="{00000000-0010-0000-0500-000008000000}" name="fecha_fin"/>
    <tableColumn id="9" xr3:uid="{00000000-0010-0000-0500-000009000000}" name="observac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6000000}" name="tblParticipantes" displayName="tblParticipantes" ref="A1:C5" totalsRowShown="0">
  <autoFilter ref="A1:C5" xr:uid="{00000000-0009-0000-0100-000006000000}"/>
  <tableColumns count="3">
    <tableColumn id="1" xr3:uid="{00000000-0010-0000-0600-000001000000}" name="actividad_id"/>
    <tableColumn id="2" xr3:uid="{00000000-0010-0000-0600-000002000000}" name="integrante_id"/>
    <tableColumn id="3" xr3:uid="{00000000-0010-0000-0600-000003000000}" name="ro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7000000}" name="tblCatalogos" displayName="tblCatalogos" ref="A1:D9" totalsRowShown="0">
  <autoFilter ref="A1:D9" xr:uid="{00000000-0009-0000-0100-000007000000}"/>
  <tableColumns count="4">
    <tableColumn id="1" xr3:uid="{00000000-0010-0000-0700-000001000000}" name="estado_ejecucion"/>
    <tableColumn id="2" xr3:uid="{00000000-0010-0000-0700-000002000000}" name="estado_paso"/>
    <tableColumn id="3" xr3:uid="{00000000-0010-0000-0700-000003000000}" name="prioridad"/>
    <tableColumn id="4" xr3:uid="{00000000-0010-0000-0700-000004000000}" name="periodicidad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blGuiaFlujo" displayName="tblGuiaFlujo" ref="A4:B9" totalsRowShown="0">
  <autoFilter ref="A4:B9" xr:uid="{00000000-0009-0000-0100-000009000000}"/>
  <tableColumns count="2">
    <tableColumn id="1" xr3:uid="{00000000-0010-0000-0800-000001000000}" name="Orden"/>
    <tableColumn id="2" xr3:uid="{00000000-0010-0000-0800-000002000000}" name="Registro recomendad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blGuiaRelaciones" displayName="tblGuiaRelaciones" ref="A12:D19" totalsRowShown="0">
  <autoFilter ref="A12:D19" xr:uid="{00000000-0009-0000-0100-00000A000000}"/>
  <tableColumns count="4">
    <tableColumn id="1" xr3:uid="{00000000-0010-0000-0900-000001000000}" name="Tabla"/>
    <tableColumn id="2" xr3:uid="{00000000-0010-0000-0900-000002000000}" name="Clave principal"/>
    <tableColumn id="3" xr3:uid="{00000000-0010-0000-0900-000003000000}" name="Se relaciona con"/>
    <tableColumn id="4" xr3:uid="{00000000-0010-0000-0900-000004000000}" name="Uso en la API / Reac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blGuiaCalculo" displayName="tblGuiaCalculo" ref="A22:B25" totalsRowShown="0">
  <autoFilter ref="A22:B25" xr:uid="{00000000-0009-0000-0100-00000B000000}"/>
  <tableColumns count="2">
    <tableColumn id="1" xr3:uid="{00000000-0010-0000-0A00-000001000000}" name="Regla"/>
    <tableColumn id="2" xr3:uid="{00000000-0010-0000-0A00-000002000000}" name="Defini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2:H10"/>
  <sheetViews>
    <sheetView showGridLines="0" workbookViewId="0">
      <selection activeCell="F14" sqref="F14"/>
    </sheetView>
  </sheetViews>
  <sheetFormatPr baseColWidth="10" defaultColWidth="9" defaultRowHeight="14.25"/>
  <cols>
    <col min="1" max="1" width="23" customWidth="1"/>
    <col min="2" max="2" width="43" customWidth="1"/>
    <col min="3" max="3" width="26" customWidth="1"/>
    <col min="4" max="4" width="17" customWidth="1"/>
    <col min="5" max="5" width="18" customWidth="1"/>
    <col min="6" max="6" width="13" customWidth="1"/>
    <col min="7" max="7" width="18" customWidth="1"/>
    <col min="8" max="8" width="3" customWidth="1"/>
  </cols>
  <sheetData>
    <row r="2" spans="1:8" ht="20.25">
      <c r="A2" s="19" t="s">
        <v>0</v>
      </c>
      <c r="B2" s="19"/>
      <c r="C2" s="19"/>
      <c r="D2" s="19"/>
      <c r="E2" s="19"/>
      <c r="F2" s="19"/>
      <c r="G2" s="19"/>
      <c r="H2" s="19"/>
    </row>
    <row r="3" spans="1:8">
      <c r="A3" s="11" t="s">
        <v>1</v>
      </c>
      <c r="B3" s="10"/>
      <c r="C3" s="11" t="s">
        <v>2</v>
      </c>
      <c r="D3" s="10"/>
      <c r="E3" s="11" t="s">
        <v>3</v>
      </c>
      <c r="F3" s="10"/>
      <c r="G3" s="11" t="s">
        <v>4</v>
      </c>
    </row>
    <row r="4" spans="1:8" ht="19.5">
      <c r="A4" s="12">
        <f>COUNTA(Actividades!$A$2:$A$1000)</f>
        <v>3</v>
      </c>
      <c r="B4" s="10"/>
      <c r="C4" s="12">
        <f>COUNTA(Ejecuciones!$A$2:$A$1000)</f>
        <v>3</v>
      </c>
      <c r="D4" s="10"/>
      <c r="E4" s="12">
        <f>COUNTIF(Ejecuciones!$F$2:$F$1000,"Culminada")</f>
        <v>3</v>
      </c>
      <c r="F4" s="10"/>
      <c r="G4" s="13">
        <f>IFERROR(AVERAGE(Ejecuciones!$H$2:$H$1000),0)</f>
        <v>1</v>
      </c>
    </row>
    <row r="7" spans="1:8">
      <c r="A7" s="14" t="s">
        <v>5</v>
      </c>
      <c r="B7" s="14" t="s">
        <v>6</v>
      </c>
      <c r="C7" s="14" t="s">
        <v>7</v>
      </c>
      <c r="D7" s="14" t="s">
        <v>8</v>
      </c>
      <c r="E7" s="14" t="s">
        <v>9</v>
      </c>
      <c r="F7" s="14" t="s">
        <v>10</v>
      </c>
    </row>
    <row r="8" spans="1:8" ht="27.95" customHeight="1">
      <c r="A8" s="1" t="str">
        <f>Ejecuciones!A2</f>
        <v>EJE-2026-0901-001</v>
      </c>
      <c r="B8" s="1" t="str">
        <f>IFERROR(VLOOKUP(Ejecuciones!B2,Actividades!$A$2:$H$1000,2,FALSE),"")</f>
        <v>Actualización mensual de publicaciones científicas</v>
      </c>
      <c r="C8" s="1" t="str">
        <f>IFERROR(VLOOKUP(VLOOKUP(Ejecuciones!B2,Actividades!$A$2:$H$1000,6,FALSE),Integrantes!$A$2:$D$500,2,FALSE),"")</f>
        <v>Joselyn Lopez Ramirez</v>
      </c>
      <c r="D8" s="1" t="str">
        <f>Ejecuciones!F2</f>
        <v>Culminada</v>
      </c>
      <c r="E8" s="15">
        <f>Ejecuciones!E2</f>
        <v>46273</v>
      </c>
      <c r="F8" s="16">
        <f>Ejecuciones!H2</f>
        <v>1</v>
      </c>
    </row>
    <row r="9" spans="1:8" ht="27.95" customHeight="1">
      <c r="A9" s="1" t="str">
        <f>Ejecuciones!A3</f>
        <v>EJE-2026-0911-002</v>
      </c>
      <c r="B9" s="1" t="str">
        <f>IFERROR(VLOOKUP(Ejecuciones!B3,Actividades!$A$2:$H$1000,2,FALSE),"")</f>
        <v>Actualización del Dashboard de revistas</v>
      </c>
      <c r="C9" s="1" t="str">
        <f>IFERROR(VLOOKUP(VLOOKUP(Ejecuciones!B3,Actividades!$A$2:$H$1000,6,FALSE),Integrantes!$A$2:$D$500,2,FALSE),"")</f>
        <v>César Montoya</v>
      </c>
      <c r="D9" s="1" t="str">
        <f>Ejecuciones!F3</f>
        <v>Culminada</v>
      </c>
      <c r="E9" s="15">
        <f>Ejecuciones!E3</f>
        <v>46276</v>
      </c>
      <c r="F9" s="16">
        <f>Ejecuciones!H3</f>
        <v>1</v>
      </c>
    </row>
    <row r="10" spans="1:8" ht="27.95" customHeight="1">
      <c r="A10" s="1" t="str">
        <f>Ejecuciones!A4</f>
        <v>EJE-2026-0911-003</v>
      </c>
      <c r="B10" s="1" t="str">
        <f>IFERROR(VLOOKUP(Ejecuciones!B4,Actividades!$A$2:$H$1000,2,FALSE),"")</f>
        <v>Actualización del Dashboard de congresos</v>
      </c>
      <c r="C10" s="1" t="str">
        <f>IFERROR(VLOOKUP(VLOOKUP(Ejecuciones!B4,Actividades!$A$2:$H$1000,6,FALSE),Integrantes!$A$2:$D$500,2,FALSE),"")</f>
        <v>César Montoya</v>
      </c>
      <c r="D10" s="1" t="str">
        <f>Ejecuciones!F4</f>
        <v>Culminada</v>
      </c>
      <c r="E10" s="15">
        <f>Ejecuciones!E4</f>
        <v>46276</v>
      </c>
      <c r="F10" s="16">
        <f>Ejecuciones!H4</f>
        <v>1</v>
      </c>
    </row>
  </sheetData>
  <mergeCells count="1">
    <mergeCell ref="A2:H2"/>
  </mergeCells>
  <conditionalFormatting sqref="F8:F10">
    <cfRule type="dataBar" priority="1">
      <dataBar>
        <cfvo type="min"/>
        <cfvo type="max"/>
        <color rgb="FF5B9BD5"/>
      </dataBar>
    </cfRule>
  </conditionalFormatting>
  <conditionalFormatting sqref="F8:F10">
    <cfRule type="dataBar" priority="2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{DA12C461-A72D-FADC-ED1B-42B2A151D9C7}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12C461-A72D-FADC-ED1B-42B2A151D9C7}">
            <x14:dataBar>
              <x14:cfvo type="min"/>
              <x14:cfvo type="max"/>
              <x14:negativeFillColor auto="1"/>
              <x14:axisColor auto="1"/>
            </x14:dataBar>
          </x14:cfRule>
          <xm:sqref>F8:F10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D9EAF7"/>
  </sheetPr>
  <dimension ref="A1:D3"/>
  <sheetViews>
    <sheetView showGridLines="0" workbookViewId="0">
      <pane ySplit="1" topLeftCell="A2" activePane="bottomLeft" state="frozen"/>
      <selection pane="bottomLeft" sqref="A1:D3"/>
    </sheetView>
  </sheetViews>
  <sheetFormatPr baseColWidth="10" defaultColWidth="9" defaultRowHeight="14.25"/>
  <cols>
    <col min="1" max="1" width="16" customWidth="1"/>
    <col min="2" max="2" width="30" customWidth="1"/>
    <col min="3" max="3" width="24" customWidth="1"/>
    <col min="4" max="4" width="12" customWidth="1"/>
  </cols>
  <sheetData>
    <row r="1" spans="1:4" ht="32.1" customHeight="1">
      <c r="A1" s="3" t="s">
        <v>11</v>
      </c>
      <c r="B1" s="4" t="s">
        <v>12</v>
      </c>
      <c r="C1" s="4" t="s">
        <v>13</v>
      </c>
      <c r="D1" s="5" t="s">
        <v>14</v>
      </c>
    </row>
    <row r="2" spans="1:4">
      <c r="A2" s="2" t="s">
        <v>15</v>
      </c>
      <c r="B2" s="2" t="s">
        <v>16</v>
      </c>
      <c r="C2" s="2"/>
      <c r="D2" s="2" t="s">
        <v>17</v>
      </c>
    </row>
    <row r="3" spans="1:4">
      <c r="A3" s="2" t="s">
        <v>18</v>
      </c>
      <c r="B3" s="2" t="s">
        <v>19</v>
      </c>
      <c r="C3" s="2"/>
      <c r="D3" s="2" t="s">
        <v>17</v>
      </c>
    </row>
  </sheetData>
  <dataValidations count="1">
    <dataValidation type="list" sqref="D2:D3" xr:uid="{00000000-0002-0000-0100-000000000000}">
      <formula1>"Sí,No"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D9EAF7"/>
  </sheetPr>
  <dimension ref="A1:H4"/>
  <sheetViews>
    <sheetView showGridLines="0" tabSelected="1" topLeftCell="C1" workbookViewId="0">
      <pane ySplit="1" topLeftCell="A2" activePane="bottomLeft" state="frozen"/>
      <selection pane="bottomLeft" activeCell="A16" sqref="A16"/>
    </sheetView>
  </sheetViews>
  <sheetFormatPr baseColWidth="10" defaultColWidth="9" defaultRowHeight="14.25"/>
  <cols>
    <col min="1" max="1" width="15" customWidth="1"/>
    <col min="2" max="2" width="38" customWidth="1"/>
    <col min="3" max="3" width="62" customWidth="1"/>
    <col min="4" max="4" width="32" customWidth="1"/>
    <col min="5" max="5" width="16" customWidth="1"/>
    <col min="6" max="6" width="17" customWidth="1"/>
    <col min="7" max="7" width="12" customWidth="1"/>
    <col min="8" max="8" width="11" customWidth="1"/>
  </cols>
  <sheetData>
    <row r="1" spans="1:8" ht="32.1" customHeight="1">
      <c r="A1" s="3" t="s">
        <v>20</v>
      </c>
      <c r="B1" s="4" t="s">
        <v>12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5" t="s">
        <v>14</v>
      </c>
    </row>
    <row r="2" spans="1:8" ht="42" customHeight="1">
      <c r="A2" s="2" t="s">
        <v>26</v>
      </c>
      <c r="B2" s="6" t="s">
        <v>27</v>
      </c>
      <c r="C2" s="6" t="s">
        <v>28</v>
      </c>
      <c r="D2" s="6" t="s">
        <v>29</v>
      </c>
      <c r="E2" s="2" t="s">
        <v>30</v>
      </c>
      <c r="F2" s="2" t="s">
        <v>15</v>
      </c>
      <c r="G2" s="2" t="s">
        <v>31</v>
      </c>
      <c r="H2" s="2" t="s">
        <v>17</v>
      </c>
    </row>
    <row r="3" spans="1:8" ht="42" customHeight="1">
      <c r="A3" s="2" t="s">
        <v>32</v>
      </c>
      <c r="B3" s="6" t="s">
        <v>33</v>
      </c>
      <c r="C3" s="6" t="s">
        <v>34</v>
      </c>
      <c r="D3" s="6" t="s">
        <v>35</v>
      </c>
      <c r="E3" s="2" t="s">
        <v>36</v>
      </c>
      <c r="F3" s="2" t="s">
        <v>18</v>
      </c>
      <c r="G3" s="2" t="s">
        <v>31</v>
      </c>
      <c r="H3" s="2" t="s">
        <v>17</v>
      </c>
    </row>
    <row r="4" spans="1:8" ht="42" customHeight="1">
      <c r="A4" s="2" t="s">
        <v>37</v>
      </c>
      <c r="B4" s="6" t="s">
        <v>38</v>
      </c>
      <c r="C4" s="6" t="s">
        <v>39</v>
      </c>
      <c r="D4" s="6" t="s">
        <v>35</v>
      </c>
      <c r="E4" s="2" t="s">
        <v>36</v>
      </c>
      <c r="F4" s="2" t="s">
        <v>18</v>
      </c>
      <c r="G4" s="2" t="s">
        <v>31</v>
      </c>
      <c r="H4" s="2" t="s">
        <v>17</v>
      </c>
    </row>
  </sheetData>
  <dataValidations count="3">
    <dataValidation type="list" sqref="E2:E4" xr:uid="{00000000-0002-0000-0200-000000000000}">
      <formula1>"Diaria,Semanal,Quincenal,Mensual,Trimestral,Única"</formula1>
    </dataValidation>
    <dataValidation type="list" sqref="G2:G4" xr:uid="{00000000-0002-0000-0200-000001000000}">
      <formula1>"Baja,Media,Alta,Crítica"</formula1>
    </dataValidation>
    <dataValidation type="list" sqref="H2:H4" xr:uid="{00000000-0002-0000-0200-000002000000}">
      <formula1>"Sí,No"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EAF7"/>
  </sheetPr>
  <dimension ref="A1:L4"/>
  <sheetViews>
    <sheetView showGridLines="0" workbookViewId="0">
      <pane ySplit="1" topLeftCell="A2" activePane="bottomLeft" state="frozen"/>
      <selection pane="bottomLeft" activeCell="F2" sqref="F2"/>
    </sheetView>
  </sheetViews>
  <sheetFormatPr baseColWidth="10" defaultColWidth="9" defaultRowHeight="14.25"/>
  <cols>
    <col min="1" max="1" width="23" customWidth="1"/>
    <col min="2" max="2" width="15" customWidth="1"/>
    <col min="3" max="3" width="14" customWidth="1"/>
    <col min="4" max="5" width="17" customWidth="1"/>
    <col min="6" max="6" width="16" customWidth="1"/>
    <col min="7" max="7" width="19" customWidth="1"/>
    <col min="8" max="8" width="18" customWidth="1"/>
    <col min="9" max="9" width="42" customWidth="1"/>
    <col min="10" max="11" width="46" customWidth="1"/>
    <col min="12" max="12" width="44" customWidth="1"/>
  </cols>
  <sheetData>
    <row r="1" spans="1:12" ht="32.1" customHeight="1">
      <c r="A1" s="3" t="s">
        <v>5</v>
      </c>
      <c r="B1" s="4" t="s">
        <v>20</v>
      </c>
      <c r="C1" s="4" t="s">
        <v>40</v>
      </c>
      <c r="D1" s="4" t="s">
        <v>41</v>
      </c>
      <c r="E1" s="4" t="s">
        <v>9</v>
      </c>
      <c r="F1" s="4" t="s">
        <v>8</v>
      </c>
      <c r="G1" s="4" t="s">
        <v>42</v>
      </c>
      <c r="H1" s="4" t="s">
        <v>43</v>
      </c>
      <c r="I1" s="4" t="s">
        <v>44</v>
      </c>
      <c r="J1" s="4" t="s">
        <v>45</v>
      </c>
      <c r="K1" s="4" t="s">
        <v>46</v>
      </c>
      <c r="L1" s="5" t="s">
        <v>47</v>
      </c>
    </row>
    <row r="2" spans="1:12" ht="44.1" customHeight="1">
      <c r="A2" s="2" t="s">
        <v>48</v>
      </c>
      <c r="B2" s="2" t="s">
        <v>26</v>
      </c>
      <c r="C2" s="2" t="s">
        <v>49</v>
      </c>
      <c r="D2" s="7">
        <v>46266</v>
      </c>
      <c r="E2" s="7">
        <v>46273</v>
      </c>
      <c r="F2" s="2" t="s">
        <v>50</v>
      </c>
      <c r="G2" s="7">
        <v>46269</v>
      </c>
      <c r="H2" s="8">
        <f>IFERROR(SUMIF(Seguimiento_Pasos!$A$2:$A$1000,A2,Seguimiento_Pasos!$F$2:$F$1000)/SUMIF(Seguimiento_Pasos!$A$2:$A$1000,A2,Seguimiento_Pasos!$E$2:$E$1000),0)</f>
        <v>1</v>
      </c>
      <c r="I2" s="6" t="s">
        <v>51</v>
      </c>
      <c r="J2" s="6" t="s">
        <v>52</v>
      </c>
      <c r="K2" s="6" t="s">
        <v>53</v>
      </c>
      <c r="L2" s="6" t="s">
        <v>54</v>
      </c>
    </row>
    <row r="3" spans="1:12" ht="44.1" customHeight="1">
      <c r="A3" s="2" t="s">
        <v>55</v>
      </c>
      <c r="B3" s="2" t="s">
        <v>32</v>
      </c>
      <c r="C3" s="2" t="s">
        <v>56</v>
      </c>
      <c r="D3" s="7">
        <v>46276</v>
      </c>
      <c r="E3" s="7">
        <v>46276</v>
      </c>
      <c r="F3" s="2" t="s">
        <v>50</v>
      </c>
      <c r="G3" s="7">
        <v>46276</v>
      </c>
      <c r="H3" s="8">
        <f>IFERROR(SUMIF(Seguimiento_Pasos!$A$2:$A$1000,A3,Seguimiento_Pasos!$F$2:$F$1000)/SUMIF(Seguimiento_Pasos!$A$2:$A$1000,A3,Seguimiento_Pasos!$E$2:$E$1000),0)</f>
        <v>1</v>
      </c>
      <c r="I3" s="6"/>
      <c r="J3" s="6" t="s">
        <v>57</v>
      </c>
      <c r="K3" s="6"/>
      <c r="L3" s="6" t="s">
        <v>58</v>
      </c>
    </row>
    <row r="4" spans="1:12" ht="44.1" customHeight="1">
      <c r="A4" s="2" t="s">
        <v>59</v>
      </c>
      <c r="B4" s="2" t="s">
        <v>37</v>
      </c>
      <c r="C4" s="2" t="s">
        <v>56</v>
      </c>
      <c r="D4" s="7">
        <v>46276</v>
      </c>
      <c r="E4" s="7">
        <v>46276</v>
      </c>
      <c r="F4" s="2" t="s">
        <v>50</v>
      </c>
      <c r="G4" s="7">
        <v>46276</v>
      </c>
      <c r="H4" s="8">
        <f>IFERROR(SUMIF(Seguimiento_Pasos!$A$2:$A$1000,A4,Seguimiento_Pasos!$F$2:$F$1000)/SUMIF(Seguimiento_Pasos!$A$2:$A$1000,A4,Seguimiento_Pasos!$E$2:$E$1000),0)</f>
        <v>1</v>
      </c>
      <c r="I4" s="6"/>
      <c r="J4" s="6" t="s">
        <v>60</v>
      </c>
      <c r="K4" s="6"/>
      <c r="L4" s="6" t="s">
        <v>61</v>
      </c>
    </row>
  </sheetData>
  <conditionalFormatting sqref="F2:F4">
    <cfRule type="containsText" dxfId="2" priority="1" operator="containsText" text="Culminada"/>
    <cfRule type="containsText" dxfId="1" priority="2" operator="containsText" text="En progreso"/>
    <cfRule type="containsText" dxfId="0" priority="3" operator="containsText" text="Bloqueada"/>
  </conditionalFormatting>
  <dataValidations count="1">
    <dataValidation type="list" sqref="F2:F4" xr:uid="{00000000-0002-0000-0300-000000000000}">
      <formula1>"Pendiente,En progreso,Bloqueada,Culminada,Cancelada"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5B9BD5"/>
  </sheetPr>
  <dimension ref="A1:F21"/>
  <sheetViews>
    <sheetView showGridLines="0" workbookViewId="0">
      <pane ySplit="1" topLeftCell="A4" activePane="bottomLeft" state="frozen"/>
      <selection pane="bottomLeft" activeCell="D4" sqref="D4"/>
    </sheetView>
  </sheetViews>
  <sheetFormatPr baseColWidth="10" defaultColWidth="9" defaultRowHeight="14.25"/>
  <cols>
    <col min="1" max="1" width="14" customWidth="1"/>
    <col min="2" max="2" width="15" customWidth="1"/>
    <col min="3" max="3" width="10" customWidth="1"/>
    <col min="4" max="4" width="76" customWidth="1"/>
    <col min="5" max="5" width="12" customWidth="1"/>
    <col min="6" max="6" width="11" customWidth="1"/>
  </cols>
  <sheetData>
    <row r="1" spans="1:6" ht="32.1" customHeight="1">
      <c r="A1" s="3" t="s">
        <v>62</v>
      </c>
      <c r="B1" s="4" t="s">
        <v>20</v>
      </c>
      <c r="C1" s="4" t="s">
        <v>63</v>
      </c>
      <c r="D1" s="4" t="s">
        <v>64</v>
      </c>
      <c r="E1" s="4" t="s">
        <v>65</v>
      </c>
      <c r="F1" s="5" t="s">
        <v>14</v>
      </c>
    </row>
    <row r="2" spans="1:6" ht="24" customHeight="1">
      <c r="A2" s="2" t="s">
        <v>66</v>
      </c>
      <c r="B2" s="2" t="s">
        <v>26</v>
      </c>
      <c r="C2" s="2">
        <v>1</v>
      </c>
      <c r="D2" s="6" t="s">
        <v>67</v>
      </c>
      <c r="E2" s="8">
        <v>0.05</v>
      </c>
      <c r="F2" s="2" t="s">
        <v>17</v>
      </c>
    </row>
    <row r="3" spans="1:6" ht="24" customHeight="1">
      <c r="A3" s="2" t="s">
        <v>68</v>
      </c>
      <c r="B3" s="2" t="s">
        <v>26</v>
      </c>
      <c r="C3" s="2">
        <v>2</v>
      </c>
      <c r="D3" s="6" t="s">
        <v>69</v>
      </c>
      <c r="E3" s="8">
        <v>0.02</v>
      </c>
      <c r="F3" s="2" t="s">
        <v>17</v>
      </c>
    </row>
    <row r="4" spans="1:6" ht="24" customHeight="1">
      <c r="A4" s="2" t="s">
        <v>70</v>
      </c>
      <c r="B4" s="2" t="s">
        <v>26</v>
      </c>
      <c r="C4" s="2">
        <v>3</v>
      </c>
      <c r="D4" s="6" t="s">
        <v>71</v>
      </c>
      <c r="E4" s="8">
        <v>0.03</v>
      </c>
      <c r="F4" s="2" t="s">
        <v>17</v>
      </c>
    </row>
    <row r="5" spans="1:6" ht="24" customHeight="1">
      <c r="A5" s="2" t="s">
        <v>72</v>
      </c>
      <c r="B5" s="2" t="s">
        <v>26</v>
      </c>
      <c r="C5" s="2">
        <v>4</v>
      </c>
      <c r="D5" s="6" t="s">
        <v>73</v>
      </c>
      <c r="E5" s="8">
        <v>0.05</v>
      </c>
      <c r="F5" s="2" t="s">
        <v>17</v>
      </c>
    </row>
    <row r="6" spans="1:6" ht="24" customHeight="1">
      <c r="A6" s="2" t="s">
        <v>74</v>
      </c>
      <c r="B6" s="2" t="s">
        <v>26</v>
      </c>
      <c r="C6" s="2">
        <v>5</v>
      </c>
      <c r="D6" s="6" t="s">
        <v>75</v>
      </c>
      <c r="E6" s="8">
        <v>0.05</v>
      </c>
      <c r="F6" s="2" t="s">
        <v>17</v>
      </c>
    </row>
    <row r="7" spans="1:6" ht="24" customHeight="1">
      <c r="A7" s="2" t="s">
        <v>76</v>
      </c>
      <c r="B7" s="2" t="s">
        <v>26</v>
      </c>
      <c r="C7" s="2">
        <v>6</v>
      </c>
      <c r="D7" s="6" t="s">
        <v>77</v>
      </c>
      <c r="E7" s="8">
        <v>0.1</v>
      </c>
      <c r="F7" s="2" t="s">
        <v>17</v>
      </c>
    </row>
    <row r="8" spans="1:6" ht="24" customHeight="1">
      <c r="A8" s="2" t="s">
        <v>78</v>
      </c>
      <c r="B8" s="2" t="s">
        <v>26</v>
      </c>
      <c r="C8" s="2">
        <v>7</v>
      </c>
      <c r="D8" s="6" t="s">
        <v>79</v>
      </c>
      <c r="E8" s="8">
        <v>0.1</v>
      </c>
      <c r="F8" s="2" t="s">
        <v>17</v>
      </c>
    </row>
    <row r="9" spans="1:6" ht="24" customHeight="1">
      <c r="A9" s="2" t="s">
        <v>80</v>
      </c>
      <c r="B9" s="2" t="s">
        <v>26</v>
      </c>
      <c r="C9" s="2">
        <v>8</v>
      </c>
      <c r="D9" s="6" t="s">
        <v>81</v>
      </c>
      <c r="E9" s="8">
        <v>0.1</v>
      </c>
      <c r="F9" s="2" t="s">
        <v>17</v>
      </c>
    </row>
    <row r="10" spans="1:6" ht="24" customHeight="1">
      <c r="A10" s="2" t="s">
        <v>82</v>
      </c>
      <c r="B10" s="2" t="s">
        <v>26</v>
      </c>
      <c r="C10" s="2">
        <v>9</v>
      </c>
      <c r="D10" s="6" t="s">
        <v>83</v>
      </c>
      <c r="E10" s="8">
        <v>0.1</v>
      </c>
      <c r="F10" s="2" t="s">
        <v>17</v>
      </c>
    </row>
    <row r="11" spans="1:6" ht="24" customHeight="1">
      <c r="A11" s="2" t="s">
        <v>84</v>
      </c>
      <c r="B11" s="2" t="s">
        <v>26</v>
      </c>
      <c r="C11" s="2">
        <v>10</v>
      </c>
      <c r="D11" s="6" t="s">
        <v>85</v>
      </c>
      <c r="E11" s="8">
        <v>0.05</v>
      </c>
      <c r="F11" s="2" t="s">
        <v>17</v>
      </c>
    </row>
    <row r="12" spans="1:6" ht="24" customHeight="1">
      <c r="A12" s="2" t="s">
        <v>86</v>
      </c>
      <c r="B12" s="2" t="s">
        <v>26</v>
      </c>
      <c r="C12" s="2">
        <v>11</v>
      </c>
      <c r="D12" s="6" t="s">
        <v>87</v>
      </c>
      <c r="E12" s="8">
        <v>0.05</v>
      </c>
      <c r="F12" s="2" t="s">
        <v>17</v>
      </c>
    </row>
    <row r="13" spans="1:6" ht="24" customHeight="1">
      <c r="A13" s="2" t="s">
        <v>88</v>
      </c>
      <c r="B13" s="2" t="s">
        <v>26</v>
      </c>
      <c r="C13" s="2">
        <v>12</v>
      </c>
      <c r="D13" s="6" t="s">
        <v>89</v>
      </c>
      <c r="E13" s="8">
        <v>0.3</v>
      </c>
      <c r="F13" s="2" t="s">
        <v>17</v>
      </c>
    </row>
    <row r="14" spans="1:6" ht="24" customHeight="1">
      <c r="A14" s="2" t="s">
        <v>90</v>
      </c>
      <c r="B14" s="2" t="s">
        <v>32</v>
      </c>
      <c r="C14" s="2">
        <v>1</v>
      </c>
      <c r="D14" s="6" t="s">
        <v>91</v>
      </c>
      <c r="E14" s="8">
        <v>0.2</v>
      </c>
      <c r="F14" s="2" t="s">
        <v>17</v>
      </c>
    </row>
    <row r="15" spans="1:6" ht="24" customHeight="1">
      <c r="A15" s="2" t="s">
        <v>92</v>
      </c>
      <c r="B15" s="2" t="s">
        <v>32</v>
      </c>
      <c r="C15" s="2">
        <v>2</v>
      </c>
      <c r="D15" s="6" t="s">
        <v>93</v>
      </c>
      <c r="E15" s="8">
        <v>0.3</v>
      </c>
      <c r="F15" s="2" t="s">
        <v>17</v>
      </c>
    </row>
    <row r="16" spans="1:6" ht="24" customHeight="1">
      <c r="A16" s="2" t="s">
        <v>94</v>
      </c>
      <c r="B16" s="2" t="s">
        <v>32</v>
      </c>
      <c r="C16" s="2">
        <v>3</v>
      </c>
      <c r="D16" s="6" t="s">
        <v>95</v>
      </c>
      <c r="E16" s="8">
        <v>0.3</v>
      </c>
      <c r="F16" s="2" t="s">
        <v>17</v>
      </c>
    </row>
    <row r="17" spans="1:6" ht="24" customHeight="1">
      <c r="A17" s="2" t="s">
        <v>96</v>
      </c>
      <c r="B17" s="2" t="s">
        <v>32</v>
      </c>
      <c r="C17" s="2">
        <v>4</v>
      </c>
      <c r="D17" s="6" t="s">
        <v>97</v>
      </c>
      <c r="E17" s="8">
        <v>0.2</v>
      </c>
      <c r="F17" s="2" t="s">
        <v>17</v>
      </c>
    </row>
    <row r="18" spans="1:6" ht="24" customHeight="1">
      <c r="A18" s="2" t="s">
        <v>98</v>
      </c>
      <c r="B18" s="2" t="s">
        <v>37</v>
      </c>
      <c r="C18" s="2">
        <v>1</v>
      </c>
      <c r="D18" s="6" t="s">
        <v>99</v>
      </c>
      <c r="E18" s="8">
        <v>0.2</v>
      </c>
      <c r="F18" s="2" t="s">
        <v>17</v>
      </c>
    </row>
    <row r="19" spans="1:6" ht="24" customHeight="1">
      <c r="A19" s="2" t="s">
        <v>100</v>
      </c>
      <c r="B19" s="2" t="s">
        <v>37</v>
      </c>
      <c r="C19" s="2">
        <v>2</v>
      </c>
      <c r="D19" s="6" t="s">
        <v>101</v>
      </c>
      <c r="E19" s="8">
        <v>0.3</v>
      </c>
      <c r="F19" s="2" t="s">
        <v>17</v>
      </c>
    </row>
    <row r="20" spans="1:6" ht="24" customHeight="1">
      <c r="A20" s="2" t="s">
        <v>102</v>
      </c>
      <c r="B20" s="2" t="s">
        <v>37</v>
      </c>
      <c r="C20" s="2">
        <v>3</v>
      </c>
      <c r="D20" s="6" t="s">
        <v>103</v>
      </c>
      <c r="E20" s="8">
        <v>0.3</v>
      </c>
      <c r="F20" s="2" t="s">
        <v>17</v>
      </c>
    </row>
    <row r="21" spans="1:6" ht="24" customHeight="1">
      <c r="A21" s="2" t="s">
        <v>104</v>
      </c>
      <c r="B21" s="2" t="s">
        <v>37</v>
      </c>
      <c r="C21" s="2">
        <v>4</v>
      </c>
      <c r="D21" s="6" t="s">
        <v>97</v>
      </c>
      <c r="E21" s="8">
        <v>0.2</v>
      </c>
      <c r="F21" s="2" t="s">
        <v>17</v>
      </c>
    </row>
  </sheetData>
  <dataValidations count="1">
    <dataValidation type="list" sqref="F2:F21" xr:uid="{00000000-0002-0000-0400-000000000000}">
      <formula1>"Sí,No"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B9BD5"/>
  </sheetPr>
  <dimension ref="A1:I21"/>
  <sheetViews>
    <sheetView showGridLines="0" workbookViewId="0">
      <pane ySplit="1" topLeftCell="A2" activePane="bottomLeft" state="frozen"/>
      <selection pane="bottomLeft" activeCell="C2" sqref="C2"/>
    </sheetView>
  </sheetViews>
  <sheetFormatPr baseColWidth="10" defaultColWidth="9" defaultRowHeight="14.25"/>
  <cols>
    <col min="1" max="1" width="23" customWidth="1"/>
    <col min="2" max="2" width="14" customWidth="1"/>
    <col min="3" max="3" width="17" customWidth="1"/>
    <col min="4" max="4" width="19" customWidth="1"/>
    <col min="5" max="5" width="14" customWidth="1"/>
    <col min="6" max="6" width="20" customWidth="1"/>
    <col min="7" max="8" width="16" customWidth="1"/>
    <col min="9" max="9" width="40" customWidth="1"/>
  </cols>
  <sheetData>
    <row r="1" spans="1:9" ht="32.1" customHeight="1">
      <c r="A1" s="3" t="s">
        <v>5</v>
      </c>
      <c r="B1" s="4" t="s">
        <v>62</v>
      </c>
      <c r="C1" s="4" t="s">
        <v>105</v>
      </c>
      <c r="D1" s="4" t="s">
        <v>106</v>
      </c>
      <c r="E1" s="4" t="s">
        <v>107</v>
      </c>
      <c r="F1" s="4" t="s">
        <v>108</v>
      </c>
      <c r="G1" s="4" t="s">
        <v>109</v>
      </c>
      <c r="H1" s="4" t="s">
        <v>110</v>
      </c>
      <c r="I1" s="5" t="s">
        <v>111</v>
      </c>
    </row>
    <row r="2" spans="1:9">
      <c r="A2" s="2" t="s">
        <v>48</v>
      </c>
      <c r="B2" s="2" t="s">
        <v>66</v>
      </c>
      <c r="C2" s="2" t="s">
        <v>112</v>
      </c>
      <c r="D2" s="9">
        <v>1</v>
      </c>
      <c r="E2" s="8">
        <f>IFERROR(VLOOKUP(B2,Pasos!$A$2:$E$1000,5,FALSE),0)</f>
        <v>0.05</v>
      </c>
      <c r="F2" s="8">
        <f t="shared" ref="F2:F21" si="0">D2*E2</f>
        <v>0.05</v>
      </c>
      <c r="G2" s="7"/>
      <c r="H2" s="7"/>
      <c r="I2" s="6"/>
    </row>
    <row r="3" spans="1:9">
      <c r="A3" s="2" t="s">
        <v>48</v>
      </c>
      <c r="B3" s="2" t="s">
        <v>68</v>
      </c>
      <c r="C3" s="2" t="s">
        <v>112</v>
      </c>
      <c r="D3" s="9">
        <v>1</v>
      </c>
      <c r="E3" s="8">
        <f>IFERROR(VLOOKUP(B3,Pasos!$A$2:$E$1000,5,FALSE),0)</f>
        <v>0.02</v>
      </c>
      <c r="F3" s="8">
        <f t="shared" si="0"/>
        <v>0.02</v>
      </c>
      <c r="G3" s="7"/>
      <c r="H3" s="7"/>
      <c r="I3" s="6"/>
    </row>
    <row r="4" spans="1:9">
      <c r="A4" s="2" t="s">
        <v>48</v>
      </c>
      <c r="B4" s="2" t="s">
        <v>70</v>
      </c>
      <c r="C4" s="2" t="s">
        <v>112</v>
      </c>
      <c r="D4" s="9">
        <v>1</v>
      </c>
      <c r="E4" s="8">
        <f>IFERROR(VLOOKUP(B4,Pasos!$A$2:$E$1000,5,FALSE),0)</f>
        <v>0.03</v>
      </c>
      <c r="F4" s="8">
        <f t="shared" si="0"/>
        <v>0.03</v>
      </c>
      <c r="G4" s="7"/>
      <c r="H4" s="7"/>
      <c r="I4" s="6"/>
    </row>
    <row r="5" spans="1:9">
      <c r="A5" s="2" t="s">
        <v>48</v>
      </c>
      <c r="B5" s="2" t="s">
        <v>72</v>
      </c>
      <c r="C5" s="2" t="s">
        <v>112</v>
      </c>
      <c r="D5" s="9">
        <v>1</v>
      </c>
      <c r="E5" s="8">
        <f>IFERROR(VLOOKUP(B5,Pasos!$A$2:$E$1000,5,FALSE),0)</f>
        <v>0.05</v>
      </c>
      <c r="F5" s="8">
        <f t="shared" si="0"/>
        <v>0.05</v>
      </c>
      <c r="G5" s="7"/>
      <c r="H5" s="7"/>
      <c r="I5" s="6"/>
    </row>
    <row r="6" spans="1:9">
      <c r="A6" s="2" t="s">
        <v>48</v>
      </c>
      <c r="B6" s="2" t="s">
        <v>74</v>
      </c>
      <c r="C6" s="2" t="s">
        <v>112</v>
      </c>
      <c r="D6" s="9">
        <v>1</v>
      </c>
      <c r="E6" s="8">
        <f>IFERROR(VLOOKUP(B6,Pasos!$A$2:$E$1000,5,FALSE),0)</f>
        <v>0.05</v>
      </c>
      <c r="F6" s="8">
        <f t="shared" si="0"/>
        <v>0.05</v>
      </c>
      <c r="G6" s="7"/>
      <c r="H6" s="7"/>
      <c r="I6" s="6"/>
    </row>
    <row r="7" spans="1:9">
      <c r="A7" s="2" t="s">
        <v>48</v>
      </c>
      <c r="B7" s="2" t="s">
        <v>76</v>
      </c>
      <c r="C7" s="2" t="s">
        <v>112</v>
      </c>
      <c r="D7" s="9">
        <v>1</v>
      </c>
      <c r="E7" s="8">
        <f>IFERROR(VLOOKUP(B7,Pasos!$A$2:$E$1000,5,FALSE),0)</f>
        <v>0.1</v>
      </c>
      <c r="F7" s="8">
        <f t="shared" si="0"/>
        <v>0.1</v>
      </c>
      <c r="G7" s="7"/>
      <c r="H7" s="7"/>
      <c r="I7" s="6"/>
    </row>
    <row r="8" spans="1:9">
      <c r="A8" s="2" t="s">
        <v>48</v>
      </c>
      <c r="B8" s="2" t="s">
        <v>78</v>
      </c>
      <c r="C8" s="2" t="s">
        <v>112</v>
      </c>
      <c r="D8" s="9">
        <v>1</v>
      </c>
      <c r="E8" s="8">
        <f>IFERROR(VLOOKUP(B8,Pasos!$A$2:$E$1000,5,FALSE),0)</f>
        <v>0.1</v>
      </c>
      <c r="F8" s="8">
        <f t="shared" si="0"/>
        <v>0.1</v>
      </c>
      <c r="G8" s="7"/>
      <c r="H8" s="7"/>
      <c r="I8" s="6"/>
    </row>
    <row r="9" spans="1:9">
      <c r="A9" s="2" t="s">
        <v>48</v>
      </c>
      <c r="B9" s="2" t="s">
        <v>80</v>
      </c>
      <c r="C9" s="2" t="s">
        <v>112</v>
      </c>
      <c r="D9" s="9">
        <v>1</v>
      </c>
      <c r="E9" s="8">
        <f>IFERROR(VLOOKUP(B9,Pasos!$A$2:$E$1000,5,FALSE),0)</f>
        <v>0.1</v>
      </c>
      <c r="F9" s="8">
        <f t="shared" si="0"/>
        <v>0.1</v>
      </c>
      <c r="G9" s="7"/>
      <c r="H9" s="7"/>
      <c r="I9" s="6"/>
    </row>
    <row r="10" spans="1:9">
      <c r="A10" s="2" t="s">
        <v>48</v>
      </c>
      <c r="B10" s="2" t="s">
        <v>82</v>
      </c>
      <c r="C10" s="2" t="s">
        <v>112</v>
      </c>
      <c r="D10" s="9">
        <v>1</v>
      </c>
      <c r="E10" s="8">
        <f>IFERROR(VLOOKUP(B10,Pasos!$A$2:$E$1000,5,FALSE),0)</f>
        <v>0.1</v>
      </c>
      <c r="F10" s="8">
        <f t="shared" si="0"/>
        <v>0.1</v>
      </c>
      <c r="G10" s="7"/>
      <c r="H10" s="7"/>
      <c r="I10" s="6"/>
    </row>
    <row r="11" spans="1:9">
      <c r="A11" s="2" t="s">
        <v>48</v>
      </c>
      <c r="B11" s="2" t="s">
        <v>84</v>
      </c>
      <c r="C11" s="2" t="s">
        <v>112</v>
      </c>
      <c r="D11" s="9">
        <v>1</v>
      </c>
      <c r="E11" s="8">
        <f>IFERROR(VLOOKUP(B11,Pasos!$A$2:$E$1000,5,FALSE),0)</f>
        <v>0.05</v>
      </c>
      <c r="F11" s="8">
        <f t="shared" si="0"/>
        <v>0.05</v>
      </c>
      <c r="G11" s="7"/>
      <c r="H11" s="7"/>
      <c r="I11" s="6"/>
    </row>
    <row r="12" spans="1:9">
      <c r="A12" s="2" t="s">
        <v>48</v>
      </c>
      <c r="B12" s="2" t="s">
        <v>86</v>
      </c>
      <c r="C12" s="2" t="s">
        <v>112</v>
      </c>
      <c r="D12" s="9">
        <v>1</v>
      </c>
      <c r="E12" s="8">
        <f>IFERROR(VLOOKUP(B12,Pasos!$A$2:$E$1000,5,FALSE),0)</f>
        <v>0.05</v>
      </c>
      <c r="F12" s="8">
        <f t="shared" si="0"/>
        <v>0.05</v>
      </c>
      <c r="G12" s="7"/>
      <c r="H12" s="7"/>
      <c r="I12" s="6"/>
    </row>
    <row r="13" spans="1:9">
      <c r="A13" s="2" t="s">
        <v>48</v>
      </c>
      <c r="B13" s="2" t="s">
        <v>88</v>
      </c>
      <c r="C13" s="2" t="s">
        <v>112</v>
      </c>
      <c r="D13" s="9">
        <v>1</v>
      </c>
      <c r="E13" s="8">
        <f>IFERROR(VLOOKUP(B13,Pasos!$A$2:$E$1000,5,FALSE),0)</f>
        <v>0.3</v>
      </c>
      <c r="F13" s="8">
        <f t="shared" si="0"/>
        <v>0.3</v>
      </c>
      <c r="G13" s="7"/>
      <c r="H13" s="7"/>
      <c r="I13" s="6"/>
    </row>
    <row r="14" spans="1:9">
      <c r="A14" s="2" t="s">
        <v>55</v>
      </c>
      <c r="B14" s="2" t="s">
        <v>90</v>
      </c>
      <c r="C14" s="2" t="s">
        <v>112</v>
      </c>
      <c r="D14" s="9">
        <v>1</v>
      </c>
      <c r="E14" s="8">
        <f>IFERROR(VLOOKUP(B14,Pasos!$A$2:$E$1000,5,FALSE),0)</f>
        <v>0.2</v>
      </c>
      <c r="F14" s="8">
        <f t="shared" si="0"/>
        <v>0.2</v>
      </c>
      <c r="G14" s="7"/>
      <c r="H14" s="7"/>
      <c r="I14" s="6"/>
    </row>
    <row r="15" spans="1:9">
      <c r="A15" s="2" t="s">
        <v>55</v>
      </c>
      <c r="B15" s="2" t="s">
        <v>92</v>
      </c>
      <c r="C15" s="2" t="s">
        <v>112</v>
      </c>
      <c r="D15" s="9">
        <v>1</v>
      </c>
      <c r="E15" s="8">
        <f>IFERROR(VLOOKUP(B15,Pasos!$A$2:$E$1000,5,FALSE),0)</f>
        <v>0.3</v>
      </c>
      <c r="F15" s="8">
        <f t="shared" si="0"/>
        <v>0.3</v>
      </c>
      <c r="G15" s="7"/>
      <c r="H15" s="7"/>
      <c r="I15" s="6"/>
    </row>
    <row r="16" spans="1:9">
      <c r="A16" s="2" t="s">
        <v>55</v>
      </c>
      <c r="B16" s="2" t="s">
        <v>94</v>
      </c>
      <c r="C16" s="2" t="s">
        <v>112</v>
      </c>
      <c r="D16" s="9">
        <v>1</v>
      </c>
      <c r="E16" s="8">
        <f>IFERROR(VLOOKUP(B16,Pasos!$A$2:$E$1000,5,FALSE),0)</f>
        <v>0.3</v>
      </c>
      <c r="F16" s="8">
        <f t="shared" si="0"/>
        <v>0.3</v>
      </c>
      <c r="G16" s="7"/>
      <c r="H16" s="7"/>
      <c r="I16" s="6"/>
    </row>
    <row r="17" spans="1:9">
      <c r="A17" s="2" t="s">
        <v>55</v>
      </c>
      <c r="B17" s="2" t="s">
        <v>96</v>
      </c>
      <c r="C17" s="2" t="s">
        <v>112</v>
      </c>
      <c r="D17" s="9">
        <v>1</v>
      </c>
      <c r="E17" s="8">
        <f>IFERROR(VLOOKUP(B17,Pasos!$A$2:$E$1000,5,FALSE),0)</f>
        <v>0.2</v>
      </c>
      <c r="F17" s="8">
        <f t="shared" si="0"/>
        <v>0.2</v>
      </c>
      <c r="G17" s="7"/>
      <c r="H17" s="7"/>
      <c r="I17" s="6"/>
    </row>
    <row r="18" spans="1:9">
      <c r="A18" s="2" t="s">
        <v>59</v>
      </c>
      <c r="B18" s="2" t="s">
        <v>98</v>
      </c>
      <c r="C18" s="2" t="s">
        <v>112</v>
      </c>
      <c r="D18" s="9">
        <v>1</v>
      </c>
      <c r="E18" s="8">
        <f>IFERROR(VLOOKUP(B18,Pasos!$A$2:$E$1000,5,FALSE),0)</f>
        <v>0.2</v>
      </c>
      <c r="F18" s="8">
        <f t="shared" si="0"/>
        <v>0.2</v>
      </c>
      <c r="G18" s="7"/>
      <c r="H18" s="7"/>
      <c r="I18" s="6"/>
    </row>
    <row r="19" spans="1:9">
      <c r="A19" s="2" t="s">
        <v>59</v>
      </c>
      <c r="B19" s="2" t="s">
        <v>100</v>
      </c>
      <c r="C19" s="2" t="s">
        <v>112</v>
      </c>
      <c r="D19" s="9">
        <v>1</v>
      </c>
      <c r="E19" s="8">
        <f>IFERROR(VLOOKUP(B19,Pasos!$A$2:$E$1000,5,FALSE),0)</f>
        <v>0.3</v>
      </c>
      <c r="F19" s="8">
        <f t="shared" si="0"/>
        <v>0.3</v>
      </c>
      <c r="G19" s="7"/>
      <c r="H19" s="7"/>
      <c r="I19" s="6"/>
    </row>
    <row r="20" spans="1:9">
      <c r="A20" s="2" t="s">
        <v>59</v>
      </c>
      <c r="B20" s="2" t="s">
        <v>102</v>
      </c>
      <c r="C20" s="2" t="s">
        <v>112</v>
      </c>
      <c r="D20" s="9">
        <v>1</v>
      </c>
      <c r="E20" s="8">
        <f>IFERROR(VLOOKUP(B20,Pasos!$A$2:$E$1000,5,FALSE),0)</f>
        <v>0.3</v>
      </c>
      <c r="F20" s="8">
        <f t="shared" si="0"/>
        <v>0.3</v>
      </c>
      <c r="G20" s="7"/>
      <c r="H20" s="7"/>
      <c r="I20" s="6"/>
    </row>
    <row r="21" spans="1:9">
      <c r="A21" s="2" t="s">
        <v>59</v>
      </c>
      <c r="B21" s="2" t="s">
        <v>104</v>
      </c>
      <c r="C21" s="2" t="s">
        <v>112</v>
      </c>
      <c r="D21" s="9">
        <v>1</v>
      </c>
      <c r="E21" s="8">
        <f>IFERROR(VLOOKUP(B21,Pasos!$A$2:$E$1000,5,FALSE),0)</f>
        <v>0.2</v>
      </c>
      <c r="F21" s="8">
        <f t="shared" si="0"/>
        <v>0.2</v>
      </c>
      <c r="G21" s="7"/>
      <c r="H21" s="7"/>
      <c r="I21" s="6"/>
    </row>
  </sheetData>
  <dataValidations count="2">
    <dataValidation type="list" sqref="C2:C21" xr:uid="{00000000-0002-0000-0500-000000000000}">
      <formula1>"Pendiente,En progreso,Bloqueado,Completado"</formula1>
    </dataValidation>
    <dataValidation type="decimal" sqref="D2:D21" xr:uid="{00000000-0002-0000-0500-000001000000}">
      <formula1>0</formula1>
      <formula2>1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D9EAF7"/>
  </sheetPr>
  <dimension ref="A1:C5"/>
  <sheetViews>
    <sheetView showGridLines="0" workbookViewId="0">
      <pane ySplit="1" topLeftCell="A2" activePane="bottomLeft" state="frozen"/>
      <selection pane="bottomLeft" activeCell="E33" sqref="E33"/>
    </sheetView>
  </sheetViews>
  <sheetFormatPr baseColWidth="10" defaultColWidth="9" defaultRowHeight="14.25"/>
  <cols>
    <col min="1" max="1" width="16" customWidth="1"/>
    <col min="2" max="2" width="17" customWidth="1"/>
    <col min="3" max="3" width="18" customWidth="1"/>
  </cols>
  <sheetData>
    <row r="1" spans="1:3" ht="32.1" customHeight="1">
      <c r="A1" s="3" t="s">
        <v>20</v>
      </c>
      <c r="B1" s="4" t="s">
        <v>11</v>
      </c>
      <c r="C1" s="5" t="s">
        <v>113</v>
      </c>
    </row>
    <row r="2" spans="1:3">
      <c r="A2" s="2" t="s">
        <v>26</v>
      </c>
      <c r="B2" s="2" t="s">
        <v>15</v>
      </c>
      <c r="C2" s="2" t="s">
        <v>114</v>
      </c>
    </row>
    <row r="3" spans="1:3">
      <c r="A3" s="2" t="s">
        <v>26</v>
      </c>
      <c r="B3" s="2" t="s">
        <v>18</v>
      </c>
      <c r="C3" s="2" t="s">
        <v>115</v>
      </c>
    </row>
    <row r="4" spans="1:3">
      <c r="A4" s="2" t="s">
        <v>32</v>
      </c>
      <c r="B4" s="2" t="s">
        <v>18</v>
      </c>
      <c r="C4" s="2" t="s">
        <v>114</v>
      </c>
    </row>
    <row r="5" spans="1:3">
      <c r="A5" s="2" t="s">
        <v>37</v>
      </c>
      <c r="B5" s="2" t="s">
        <v>18</v>
      </c>
      <c r="C5" s="2" t="s">
        <v>114</v>
      </c>
    </row>
  </sheetData>
  <dataValidations count="1">
    <dataValidation type="list" sqref="C2:C5" xr:uid="{00000000-0002-0000-0600-000000000000}">
      <formula1>"Responsable,Participante,Revisor"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D9EAF7"/>
  </sheetPr>
  <dimension ref="A1:D9"/>
  <sheetViews>
    <sheetView showGridLines="0" workbookViewId="0">
      <pane ySplit="1" topLeftCell="A2" activePane="bottomLeft" state="frozen"/>
      <selection pane="bottomLeft" sqref="A1:D9"/>
    </sheetView>
  </sheetViews>
  <sheetFormatPr baseColWidth="10" defaultColWidth="9" defaultRowHeight="14.25"/>
  <cols>
    <col min="1" max="1" width="22" customWidth="1"/>
    <col min="2" max="2" width="20" customWidth="1"/>
    <col min="3" max="3" width="16" customWidth="1"/>
    <col min="4" max="4" width="18" customWidth="1"/>
  </cols>
  <sheetData>
    <row r="1" spans="1:4" ht="32.1" customHeight="1">
      <c r="A1" s="3" t="s">
        <v>116</v>
      </c>
      <c r="B1" s="4" t="s">
        <v>105</v>
      </c>
      <c r="C1" s="4" t="s">
        <v>25</v>
      </c>
      <c r="D1" s="5" t="s">
        <v>23</v>
      </c>
    </row>
    <row r="2" spans="1:4">
      <c r="A2" s="2" t="s">
        <v>167</v>
      </c>
      <c r="B2" s="2" t="s">
        <v>117</v>
      </c>
      <c r="C2" s="2" t="s">
        <v>118</v>
      </c>
      <c r="D2" s="2" t="s">
        <v>119</v>
      </c>
    </row>
    <row r="3" spans="1:4">
      <c r="A3" s="2" t="s">
        <v>168</v>
      </c>
      <c r="B3" s="2" t="s">
        <v>120</v>
      </c>
      <c r="C3" s="2" t="s">
        <v>121</v>
      </c>
      <c r="D3" s="2" t="s">
        <v>36</v>
      </c>
    </row>
    <row r="4" spans="1:4">
      <c r="A4" s="2" t="s">
        <v>122</v>
      </c>
      <c r="B4" s="2" t="s">
        <v>123</v>
      </c>
      <c r="C4" s="2" t="s">
        <v>31</v>
      </c>
      <c r="D4" s="2" t="s">
        <v>30</v>
      </c>
    </row>
    <row r="5" spans="1:4">
      <c r="A5" s="2" t="s">
        <v>50</v>
      </c>
      <c r="B5" s="2" t="s">
        <v>112</v>
      </c>
      <c r="C5" s="2"/>
      <c r="D5" s="2" t="s">
        <v>169</v>
      </c>
    </row>
    <row r="6" spans="1:4">
      <c r="A6" s="2"/>
      <c r="B6" s="2"/>
      <c r="C6" s="2"/>
      <c r="D6" s="2" t="s">
        <v>124</v>
      </c>
    </row>
    <row r="7" spans="1:4">
      <c r="A7" s="2"/>
      <c r="B7" s="2"/>
      <c r="C7" s="2"/>
      <c r="D7" s="2" t="s">
        <v>170</v>
      </c>
    </row>
    <row r="8" spans="1:4">
      <c r="D8" s="2" t="s">
        <v>171</v>
      </c>
    </row>
    <row r="9" spans="1:4">
      <c r="D9" s="2" t="s">
        <v>172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A5A5A5"/>
  </sheetPr>
  <dimension ref="A2:F32"/>
  <sheetViews>
    <sheetView showGridLines="0" topLeftCell="A4" workbookViewId="0">
      <selection activeCell="A28" sqref="A28:F29"/>
    </sheetView>
  </sheetViews>
  <sheetFormatPr baseColWidth="10" defaultColWidth="9" defaultRowHeight="14.25"/>
  <cols>
    <col min="1" max="1" width="19" customWidth="1"/>
    <col min="2" max="2" width="72" customWidth="1"/>
    <col min="3" max="4" width="40" customWidth="1"/>
  </cols>
  <sheetData>
    <row r="2" spans="1:6" ht="20.25">
      <c r="A2" s="20" t="s">
        <v>125</v>
      </c>
      <c r="B2" s="20"/>
      <c r="C2" s="20"/>
      <c r="D2" s="20"/>
      <c r="E2" s="20"/>
      <c r="F2" s="20"/>
    </row>
    <row r="4" spans="1:6" ht="30" customHeight="1">
      <c r="A4" s="17" t="s">
        <v>126</v>
      </c>
      <c r="B4" s="17" t="s">
        <v>127</v>
      </c>
      <c r="C4" s="1"/>
      <c r="D4" s="1"/>
    </row>
    <row r="5" spans="1:6" ht="30" customHeight="1">
      <c r="A5" s="1">
        <v>1</v>
      </c>
      <c r="B5" s="18" t="s">
        <v>128</v>
      </c>
      <c r="C5" s="1"/>
      <c r="D5" s="1"/>
    </row>
    <row r="6" spans="1:6" ht="30" customHeight="1">
      <c r="A6" s="1">
        <v>2</v>
      </c>
      <c r="B6" s="18" t="s">
        <v>129</v>
      </c>
      <c r="C6" s="1"/>
      <c r="D6" s="1"/>
    </row>
    <row r="7" spans="1:6" ht="30" customHeight="1">
      <c r="A7" s="1">
        <v>3</v>
      </c>
      <c r="B7" s="18" t="s">
        <v>130</v>
      </c>
      <c r="C7" s="1"/>
      <c r="D7" s="1"/>
    </row>
    <row r="8" spans="1:6" ht="30" customHeight="1">
      <c r="A8" s="1">
        <v>4</v>
      </c>
      <c r="B8" s="18" t="s">
        <v>131</v>
      </c>
      <c r="C8" s="1"/>
      <c r="D8" s="1"/>
    </row>
    <row r="9" spans="1:6" ht="30" customHeight="1">
      <c r="A9" s="1">
        <v>5</v>
      </c>
      <c r="B9" s="18" t="s">
        <v>132</v>
      </c>
      <c r="C9" s="1"/>
      <c r="D9" s="1"/>
    </row>
    <row r="10" spans="1:6">
      <c r="A10" s="1"/>
      <c r="B10" s="1"/>
      <c r="C10" s="1"/>
      <c r="D10" s="1"/>
    </row>
    <row r="11" spans="1:6">
      <c r="A11" s="1"/>
      <c r="B11" s="1"/>
      <c r="C11" s="1"/>
      <c r="D11" s="1"/>
    </row>
    <row r="12" spans="1:6">
      <c r="A12" s="17" t="s">
        <v>133</v>
      </c>
      <c r="B12" s="17" t="s">
        <v>134</v>
      </c>
      <c r="C12" s="17" t="s">
        <v>135</v>
      </c>
      <c r="D12" s="17" t="s">
        <v>136</v>
      </c>
    </row>
    <row r="13" spans="1:6">
      <c r="A13" s="1" t="s">
        <v>137</v>
      </c>
      <c r="B13" s="1" t="s">
        <v>11</v>
      </c>
      <c r="C13" s="1" t="s">
        <v>138</v>
      </c>
      <c r="D13" s="1" t="s">
        <v>139</v>
      </c>
    </row>
    <row r="14" spans="1:6">
      <c r="A14" s="1" t="s">
        <v>1</v>
      </c>
      <c r="B14" s="1" t="s">
        <v>20</v>
      </c>
      <c r="C14" s="1" t="s">
        <v>140</v>
      </c>
      <c r="D14" s="1" t="s">
        <v>141</v>
      </c>
    </row>
    <row r="15" spans="1:6">
      <c r="A15" s="1" t="s">
        <v>2</v>
      </c>
      <c r="B15" s="1" t="s">
        <v>5</v>
      </c>
      <c r="C15" s="1" t="s">
        <v>142</v>
      </c>
      <c r="D15" s="1" t="s">
        <v>143</v>
      </c>
    </row>
    <row r="16" spans="1:6">
      <c r="A16" s="1" t="s">
        <v>144</v>
      </c>
      <c r="B16" s="1" t="s">
        <v>62</v>
      </c>
      <c r="C16" s="1" t="s">
        <v>142</v>
      </c>
      <c r="D16" s="1" t="s">
        <v>145</v>
      </c>
    </row>
    <row r="17" spans="1:6">
      <c r="A17" s="1" t="s">
        <v>142</v>
      </c>
      <c r="B17" s="1" t="s">
        <v>146</v>
      </c>
      <c r="C17" s="1" t="s">
        <v>147</v>
      </c>
      <c r="D17" s="1" t="s">
        <v>148</v>
      </c>
    </row>
    <row r="18" spans="1:6">
      <c r="A18" s="1" t="s">
        <v>149</v>
      </c>
      <c r="B18" s="1" t="s">
        <v>150</v>
      </c>
      <c r="C18" s="1" t="s">
        <v>151</v>
      </c>
      <c r="D18" s="1" t="s">
        <v>152</v>
      </c>
    </row>
    <row r="19" spans="1:6">
      <c r="A19" s="1" t="s">
        <v>153</v>
      </c>
      <c r="B19" s="1" t="s">
        <v>154</v>
      </c>
      <c r="C19" s="1" t="s">
        <v>155</v>
      </c>
      <c r="D19" s="1" t="s">
        <v>156</v>
      </c>
    </row>
    <row r="20" spans="1:6">
      <c r="A20" s="1"/>
      <c r="B20" s="1"/>
      <c r="C20" s="1"/>
      <c r="D20" s="1"/>
    </row>
    <row r="21" spans="1:6">
      <c r="A21" s="1"/>
      <c r="B21" s="1"/>
      <c r="C21" s="1"/>
      <c r="D21" s="1"/>
    </row>
    <row r="22" spans="1:6">
      <c r="A22" s="17" t="s">
        <v>157</v>
      </c>
      <c r="B22" s="17" t="s">
        <v>158</v>
      </c>
      <c r="C22" s="1"/>
      <c r="D22" s="1"/>
    </row>
    <row r="23" spans="1:6">
      <c r="A23" s="1" t="s">
        <v>159</v>
      </c>
      <c r="B23" s="1" t="s">
        <v>160</v>
      </c>
      <c r="C23" s="1"/>
      <c r="D23" s="1"/>
    </row>
    <row r="24" spans="1:6">
      <c r="A24" s="1" t="s">
        <v>161</v>
      </c>
      <c r="B24" s="1" t="s">
        <v>162</v>
      </c>
      <c r="C24" s="1"/>
      <c r="D24" s="1"/>
    </row>
    <row r="25" spans="1:6">
      <c r="A25" s="1" t="s">
        <v>163</v>
      </c>
      <c r="B25" s="1" t="s">
        <v>164</v>
      </c>
      <c r="C25" s="1"/>
      <c r="D25" s="1"/>
    </row>
    <row r="28" spans="1:6">
      <c r="A28" s="21" t="s">
        <v>165</v>
      </c>
      <c r="B28" s="22"/>
      <c r="C28" s="22"/>
      <c r="D28" s="22"/>
      <c r="E28" s="22"/>
      <c r="F28" s="23"/>
    </row>
    <row r="29" spans="1:6">
      <c r="A29" s="24"/>
      <c r="B29" s="25"/>
      <c r="C29" s="25"/>
      <c r="D29" s="25"/>
      <c r="E29" s="25"/>
      <c r="F29" s="26"/>
    </row>
    <row r="31" spans="1:6">
      <c r="A31" s="27" t="s">
        <v>166</v>
      </c>
      <c r="B31" s="28"/>
      <c r="C31" s="28"/>
      <c r="D31" s="28"/>
      <c r="E31" s="28"/>
      <c r="F31" s="29"/>
    </row>
    <row r="32" spans="1:6">
      <c r="A32" s="30"/>
      <c r="B32" s="31"/>
      <c r="C32" s="31"/>
      <c r="D32" s="31"/>
      <c r="E32" s="31"/>
      <c r="F32" s="32"/>
    </row>
  </sheetData>
  <mergeCells count="3">
    <mergeCell ref="A2:F2"/>
    <mergeCell ref="A28:F29"/>
    <mergeCell ref="A31:F32"/>
  </mergeCell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Integrantes</vt:lpstr>
      <vt:lpstr>Actividades</vt:lpstr>
      <vt:lpstr>Ejecuciones</vt:lpstr>
      <vt:lpstr>Pasos</vt:lpstr>
      <vt:lpstr>Seguimiento_Pasos</vt:lpstr>
      <vt:lpstr>Participantes</vt:lpstr>
      <vt:lpstr>Catalogos</vt:lpstr>
      <vt:lpstr>Guia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Montoya Rodriguez Cesar Alexander</cp:lastModifiedBy>
  <dcterms:modified xsi:type="dcterms:W3CDTF">2026-09-15T17:51:07Z</dcterms:modified>
</cp:coreProperties>
</file>